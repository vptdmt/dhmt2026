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pp quan ly lich thi dau DHMT\"/>
    </mc:Choice>
  </mc:AlternateContent>
  <xr:revisionPtr revIDLastSave="0" documentId="13_ncr:1_{98518EB0-A56D-48EA-BCDB-15C704DF3A3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1. Doi xe &amp; Truc diem" sheetId="1" r:id="rId1"/>
    <sheet name="2. Chieu 27-10" sheetId="2" r:id="rId2"/>
    <sheet name="3. Ngay 28-10" sheetId="3" r:id="rId3"/>
    <sheet name="4. Sang 29-10 (Chung ket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4" l="1"/>
  <c r="D12" i="3"/>
  <c r="D19" i="2"/>
</calcChain>
</file>

<file path=xl/sharedStrings.xml><?xml version="1.0" encoding="utf-8"?>
<sst xmlns="http://schemas.openxmlformats.org/spreadsheetml/2006/main" count="313" uniqueCount="168">
  <si>
    <t>ĐẠI HỘI MƯỜNG THANH 2026 - KẾ HOẠCH ĐIỀU PHỐI XE &amp; CÁN BỘ TRỰC ĐIỂM</t>
  </si>
  <si>
    <t>Thời gian: 27/10 - 29/10/2026 · Địa điểm: KS Mường Thanh, Nhà thi đấu Ninh Bình, Sân bóng Teddy, Sân Golf Tràng An</t>
  </si>
  <si>
    <t>Thời gian</t>
  </si>
  <si>
    <t>Trực tại KS Ninh Bình</t>
  </si>
  <si>
    <t>Trực Sân Teddy (cách 3km)</t>
  </si>
  <si>
    <t>Trực Nhà thi đấu (cách 2.6km)</t>
  </si>
  <si>
    <t>Sân Golf Tràng An (cách 32km)</t>
  </si>
  <si>
    <t>Số lượng xe sẵn có</t>
  </si>
  <si>
    <t>Ghi chú vận hành</t>
  </si>
  <si>
    <t>Chiều 27/10/2026</t>
  </si>
  <si>
    <t>Mr. Tiệp + Ms. Thu Trang &amp; Ms. Dương</t>
  </si>
  <si>
    <t>Nhung &amp; Quốc Anh</t>
  </si>
  <si>
    <t>Giang &amp; Phương</t>
  </si>
  <si>
    <t>---</t>
  </si>
  <si>
    <t>15 xe 7, 1 xe 16 và 2 xe 29 chỗ (Tổng 179 chỗ)</t>
  </si>
  <si>
    <t>Ưu tiên VĐV đi trước, CĐV đi sau nếu có xe</t>
  </si>
  <si>
    <t>Sáng 28/10/2026</t>
  </si>
  <si>
    <t>Mr. Tiệp, Thu Trang, Dương, Giang, Phương, Nhung, Quốc Anh</t>
  </si>
  <si>
    <t>8 xe 45 chỗ, 2 xe 16 và 26 xe 7 chỗ (Tổng 450+ chỗ)</t>
  </si>
  <si>
    <t>450 người tham gia giải chạy Fun Run Tràng An (cách 32 km)</t>
  </si>
  <si>
    <t>Chiều 28/10/2026</t>
  </si>
  <si>
    <t>Giang &amp; Hải</t>
  </si>
  <si>
    <t>15 xe 7, 1 xe 16 (Tổng 121 chỗ)</t>
  </si>
  <si>
    <t>Sáng 29/10/2026</t>
  </si>
  <si>
    <t>LỊCH ĐIỀU XE CHI TIẾT - CHIỀU 27/10/2026 (VÒNG BẢNG)</t>
  </si>
  <si>
    <t>Ngày thi đấu: 27/10/2026 · Đội xe sẵn có: 15 xe 7 chỗ, 1 xe 16 chỗ, 2 xe 29 chỗ (179 chỗ)</t>
  </si>
  <si>
    <t>Chuyến</t>
  </si>
  <si>
    <t>Giờ đón</t>
  </si>
  <si>
    <t>Lộ trình di chuyển</t>
  </si>
  <si>
    <t>Số VĐV</t>
  </si>
  <si>
    <t>Gợi ý bố trí loại xe</t>
  </si>
  <si>
    <t>Môn thi &amp; Giờ thi đấu</t>
  </si>
  <si>
    <t>Ghi chú điều hành</t>
  </si>
  <si>
    <t>Chuyến #1</t>
  </si>
  <si>
    <t>12:30</t>
  </si>
  <si>
    <t>Khách sạn Mường Thanh ➔ Nhà thi đấu</t>
  </si>
  <si>
    <t>02 xe 29 chỗ + 01 xe 16 chỗ + 02 xe 7 chỗ</t>
  </si>
  <si>
    <t>Kéo co (13:00)</t>
  </si>
  <si>
    <t>Đưa toàn bộ các đội Kéo co đi khai mạc thi đấu</t>
  </si>
  <si>
    <t>Chuyến #2</t>
  </si>
  <si>
    <t>13:30</t>
  </si>
  <si>
    <t>01 xe 29 chỗ + 01 xe 16 chỗ</t>
  </si>
  <si>
    <t>Bóng bàn, Cầu lông (14:00)</t>
  </si>
  <si>
    <t>Đưa VĐV thi ca 14h</t>
  </si>
  <si>
    <t>Chuyến #3</t>
  </si>
  <si>
    <t>14:00</t>
  </si>
  <si>
    <t>Nhà thi đấu ➔ Khách sạn Mường Thanh</t>
  </si>
  <si>
    <t>02 xe 29 chỗ + 01 xe 16 chỗ + 01 xe 7 chỗ</t>
  </si>
  <si>
    <t>Đón các đội Kéo co thi xong về KS nghỉ</t>
  </si>
  <si>
    <t>Chuyến #4</t>
  </si>
  <si>
    <t>Nhà thi đấu ➔ Sân bóng Teddy</t>
  </si>
  <si>
    <t>01 xe 7 chỗ</t>
  </si>
  <si>
    <t>Bóng đá (15:00)</t>
  </si>
  <si>
    <t>🔥 TRUNG CHUYỂN LIÊN SÂN: VĐV kéo co sang đá bóng</t>
  </si>
  <si>
    <t>Chuyến #5</t>
  </si>
  <si>
    <t>14:30</t>
  </si>
  <si>
    <t>01 xe 29 chỗ</t>
  </si>
  <si>
    <t>Cầu lông, Bóng bàn (15:00)</t>
  </si>
  <si>
    <t>Đưa VĐV thi ca 15h</t>
  </si>
  <si>
    <t>Chuyến #6</t>
  </si>
  <si>
    <t>Khách sạn Mường Thanh ➔ Sân bóng Teddy</t>
  </si>
  <si>
    <t>02 xe 29 chỗ + 01 xe 16 chỗ + 04 xe 7 chỗ</t>
  </si>
  <si>
    <t>Bóng đá Nam &amp; Nữ (15:00)</t>
  </si>
  <si>
    <t>Đưa các đội bóng đá ra sân Teddy</t>
  </si>
  <si>
    <t>Chuyến #7</t>
  </si>
  <si>
    <t>15:00</t>
  </si>
  <si>
    <t>02 xe 7 chỗ</t>
  </si>
  <si>
    <t>Cầu lông, Bóng bàn</t>
  </si>
  <si>
    <t>Đón VĐV đã thi xong về KS</t>
  </si>
  <si>
    <t>Chuyến #8</t>
  </si>
  <si>
    <t>🔥 TRUNG CHUYỂN LIÊN SÂN: VĐV sang đá bóng</t>
  </si>
  <si>
    <t>Chuyến #9</t>
  </si>
  <si>
    <t>16:30</t>
  </si>
  <si>
    <t>Bóng bàn (17:00)</t>
  </si>
  <si>
    <t>Đưa VĐV thi lượt 17h</t>
  </si>
  <si>
    <t>Chuyến #10</t>
  </si>
  <si>
    <t>17:00</t>
  </si>
  <si>
    <t>Đón VĐV kết thúc về KS</t>
  </si>
  <si>
    <t>Chuyến #11</t>
  </si>
  <si>
    <t>Sân bóng Teddy ➔ Khách sạn Mường Thanh</t>
  </si>
  <si>
    <t>02 xe 29 chỗ + 01 xe 16 chỗ + 05 xe 7 chỗ</t>
  </si>
  <si>
    <t>Bóng đá (17:00)</t>
  </si>
  <si>
    <t>Đón toàn bộ các đội bóng đá về KS ăn tối</t>
  </si>
  <si>
    <t>Chuyến #12</t>
  </si>
  <si>
    <t>🔥 TRUNG CHUYỂN LIÊN SÂN</t>
  </si>
  <si>
    <t>Chuyến #13</t>
  </si>
  <si>
    <t>Sân bóng Teddy ➔ Nhà thi đấu</t>
  </si>
  <si>
    <t>Bóng bàn (15:00)</t>
  </si>
  <si>
    <t>Chuyến #14</t>
  </si>
  <si>
    <t>18:00</t>
  </si>
  <si>
    <t>Bóng bàn, Cầu lông (18:00)</t>
  </si>
  <si>
    <t>Đón lượt cuối về Khách sạn</t>
  </si>
  <si>
    <t>TỔNG CỘNG</t>
  </si>
  <si>
    <t>LỊCH ĐIỀU XE CHI TIẾT - NGÀY 28/10/2026 (FUN RUN &amp; BÁN KẾT BÓNG ĐÁ)</t>
  </si>
  <si>
    <t>Ngày thi đấu: 28/10/2026 · Đội xe sẵn có: Sáng: 8 xe 45, 2 xe 16, 26 xe 7 · Chiều: 15 xe 7, 1 xe 16 chỗ</t>
  </si>
  <si>
    <t>Sáng Fun Run</t>
  </si>
  <si>
    <t>05:30</t>
  </si>
  <si>
    <t>Khách sạn Mường Thanh ➔ Sân Golf Tràng An</t>
  </si>
  <si>
    <t>8 xe 45 chỗ + 2 xe 16 chỗ + 26 xe 7 chỗ</t>
  </si>
  <si>
    <t>Fun Run (06:00 - 10:30)</t>
  </si>
  <si>
    <t>Cự ly 32 km. Phục vụ 450 VĐV &amp; CĐV</t>
  </si>
  <si>
    <t>01 xe 16 chỗ + 04 xe 7 chỗ</t>
  </si>
  <si>
    <t>Bán kết Bóng đá Nam &amp; Nữ (15:00)</t>
  </si>
  <si>
    <t>Đưa 2 đội Bán kết 1 ra sân</t>
  </si>
  <si>
    <t>15:30</t>
  </si>
  <si>
    <t>01 xe 16 chỗ + 01 xe 7 chỗ</t>
  </si>
  <si>
    <t>Bóng đá (kết thúc trận 1)</t>
  </si>
  <si>
    <t>Đón đội kết thúc trận về KS nghỉ</t>
  </si>
  <si>
    <t>Bán kết Bóng đá Nam &amp; Nữ (16:00)</t>
  </si>
  <si>
    <t>Đưa 2 đội Bán kết 2 ra sân</t>
  </si>
  <si>
    <t>Bóng đá (kết thúc)</t>
  </si>
  <si>
    <t>Đón các đội về Khách sạn</t>
  </si>
  <si>
    <t>Bán kết Bóng đá (17:00)</t>
  </si>
  <si>
    <t>Đưa đội thi ca cuối</t>
  </si>
  <si>
    <t>17:30</t>
  </si>
  <si>
    <t>Bóng đá (kết thúc toàn bộ)</t>
  </si>
  <si>
    <t>Đón toàn bộ các đội về KS chuẩn bị Gala</t>
  </si>
  <si>
    <t>LỊCH ĐIỀU XE CHI TIẾT - SÁNG 29/10/2026 (CHUNG KẾT CÁC MÔN)</t>
  </si>
  <si>
    <t>Ngày thi đấu: 29/10/2026 · Đội xe sẵn có: 15 xe 7 chỗ, 1 xe 16 chỗ (121 chỗ)</t>
  </si>
  <si>
    <t>06:30</t>
  </si>
  <si>
    <t>CK &amp; Tranh 3-4 Bóng đá (07:00)</t>
  </si>
  <si>
    <t>Đưa 4 đội bóng đá nam &amp; nữ ra sân</t>
  </si>
  <si>
    <t>07:00</t>
  </si>
  <si>
    <t>CK Bóng bàn, Cầu lông (07:30)</t>
  </si>
  <si>
    <t>Đưa VĐV thi chung kết ca 1</t>
  </si>
  <si>
    <t>07:30</t>
  </si>
  <si>
    <t>Xe quay vòng đón VĐV về KS</t>
  </si>
  <si>
    <t>CK Cầu lông, Bóng bàn (08:00)</t>
  </si>
  <si>
    <t>Đưa VĐV thi ca 2</t>
  </si>
  <si>
    <t>Bóng đá (08:00)</t>
  </si>
  <si>
    <t>Đưa các lượt trận bóng đá tiếp theo</t>
  </si>
  <si>
    <t>08:00</t>
  </si>
  <si>
    <t>Bóng bàn, Cầu lông</t>
  </si>
  <si>
    <t>Đón VĐV thi xong ca 1 về KS</t>
  </si>
  <si>
    <t>CK Cầu lông, Bóng bàn (08:30)</t>
  </si>
  <si>
    <t>Đưa VĐV thi ca 3</t>
  </si>
  <si>
    <t>08:30</t>
  </si>
  <si>
    <t>Đón VĐV về KS</t>
  </si>
  <si>
    <t>Bóng đá (08:30)</t>
  </si>
  <si>
    <t>Đón các đội bóng đá về KS</t>
  </si>
  <si>
    <t>CK Cầu lông, Bóng bàn (09:00)</t>
  </si>
  <si>
    <t>Đưa VĐV thi ca 4</t>
  </si>
  <si>
    <t>09:00</t>
  </si>
  <si>
    <t>Đón VĐV ca 3 về KS</t>
  </si>
  <si>
    <t>CK Cầu lông (09:30)</t>
  </si>
  <si>
    <t>Chở VĐV trận bán kết cầu lông</t>
  </si>
  <si>
    <t>09:30</t>
  </si>
  <si>
    <t>Đón VĐV ca 4 về KS</t>
  </si>
  <si>
    <t>CK Cầu lông (10:00)</t>
  </si>
  <si>
    <t>Chở 2 VĐV Chung kết đơn nam</t>
  </si>
  <si>
    <t>Chuyến #15</t>
  </si>
  <si>
    <t>10:00</t>
  </si>
  <si>
    <t>Chuyến #16</t>
  </si>
  <si>
    <t>CK Cầu lông (10:30)</t>
  </si>
  <si>
    <t>Chở 2 VĐV Chung kết đôi</t>
  </si>
  <si>
    <t>Chuyến #17</t>
  </si>
  <si>
    <t>10:30</t>
  </si>
  <si>
    <t>Cầu lông</t>
  </si>
  <si>
    <t>Chuyến #18</t>
  </si>
  <si>
    <t>01 xe 16 chỗ + 12 xe 7 chỗ</t>
  </si>
  <si>
    <t>Bán kết &amp; CK Kéo co (11:00)</t>
  </si>
  <si>
    <t>⚡ Tổng lực đoàn xe chở 8 đội kéo co (96 VĐV)</t>
  </si>
  <si>
    <t>Chuyến #19</t>
  </si>
  <si>
    <t>11:00</t>
  </si>
  <si>
    <t>Chuyến #20</t>
  </si>
  <si>
    <t>11:30</t>
  </si>
  <si>
    <t>Kéo co kết thúc (11:30)</t>
  </si>
  <si>
    <t>⚡ Tổng lực đón toàn bộ VĐV kéo co về KS ăn trưa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</si>
</sst>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1E3A8A"/>
      <name val="Calibri"/>
      <family val="2"/>
    </font>
    <font>
      <i/>
      <sz val="11"/>
      <color rgb="FF475569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FEF3C7"/>
        <bgColor rgb="FFFEF3C7"/>
      </patternFill>
    </fill>
    <fill>
      <patternFill patternType="solid">
        <fgColor rgb="FF0D9488"/>
        <bgColor rgb="FF0D9488"/>
      </patternFill>
    </fill>
    <fill>
      <patternFill patternType="solid">
        <fgColor rgb="FF4F46E5"/>
        <bgColor rgb="FF4F46E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C11" sqref="C11"/>
    </sheetView>
  </sheetViews>
  <sheetFormatPr defaultRowHeight="14.4" x14ac:dyDescent="0.3"/>
  <cols>
    <col min="1" max="1" width="18" customWidth="1"/>
    <col min="2" max="2" width="28" customWidth="1"/>
    <col min="3" max="4" width="22" customWidth="1"/>
    <col min="5" max="5" width="32" customWidth="1"/>
    <col min="6" max="6" width="30" customWidth="1"/>
    <col min="7" max="7" width="35" customWidth="1"/>
  </cols>
  <sheetData>
    <row r="1" spans="1:7" ht="30" customHeight="1" x14ac:dyDescent="0.3">
      <c r="A1" s="16" t="s">
        <v>0</v>
      </c>
      <c r="B1" s="15"/>
      <c r="C1" s="15"/>
      <c r="D1" s="15"/>
      <c r="E1" s="15"/>
      <c r="F1" s="15"/>
      <c r="G1" s="15"/>
    </row>
    <row r="2" spans="1:7" ht="19.95" customHeight="1" x14ac:dyDescent="0.3">
      <c r="A2" s="14" t="s">
        <v>1</v>
      </c>
      <c r="B2" s="15"/>
      <c r="C2" s="15"/>
      <c r="D2" s="15"/>
      <c r="E2" s="15"/>
      <c r="F2" s="15"/>
      <c r="G2" s="15"/>
    </row>
    <row r="4" spans="1:7" ht="28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34.950000000000003" customHeight="1" x14ac:dyDescent="0.3">
      <c r="A5" s="2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4" t="s">
        <v>14</v>
      </c>
      <c r="G5" s="3" t="s">
        <v>15</v>
      </c>
    </row>
    <row r="6" spans="1:7" ht="34.950000000000003" customHeight="1" x14ac:dyDescent="0.3">
      <c r="A6" s="5" t="s">
        <v>16</v>
      </c>
      <c r="B6" s="6" t="s">
        <v>13</v>
      </c>
      <c r="C6" s="6" t="s">
        <v>13</v>
      </c>
      <c r="D6" s="6" t="s">
        <v>13</v>
      </c>
      <c r="E6" s="6" t="s">
        <v>17</v>
      </c>
      <c r="F6" s="7" t="s">
        <v>18</v>
      </c>
      <c r="G6" s="6" t="s">
        <v>19</v>
      </c>
    </row>
    <row r="7" spans="1:7" ht="34.950000000000003" customHeight="1" x14ac:dyDescent="0.3">
      <c r="A7" s="2" t="s">
        <v>20</v>
      </c>
      <c r="B7" s="3" t="s">
        <v>10</v>
      </c>
      <c r="C7" s="3" t="s">
        <v>21</v>
      </c>
      <c r="D7" s="3" t="s">
        <v>11</v>
      </c>
      <c r="E7" s="3" t="s">
        <v>13</v>
      </c>
      <c r="F7" s="4" t="s">
        <v>22</v>
      </c>
      <c r="G7" s="3" t="s">
        <v>15</v>
      </c>
    </row>
    <row r="8" spans="1:7" ht="34.950000000000003" customHeight="1" x14ac:dyDescent="0.3">
      <c r="A8" s="5" t="s">
        <v>23</v>
      </c>
      <c r="B8" s="6" t="s">
        <v>10</v>
      </c>
      <c r="C8" s="6" t="s">
        <v>12</v>
      </c>
      <c r="D8" s="6" t="s">
        <v>11</v>
      </c>
      <c r="E8" s="6" t="s">
        <v>13</v>
      </c>
      <c r="F8" s="7" t="s">
        <v>22</v>
      </c>
      <c r="G8" s="6" t="s">
        <v>15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selection activeCell="C5" sqref="C5"/>
    </sheetView>
  </sheetViews>
  <sheetFormatPr defaultRowHeight="14.4" x14ac:dyDescent="0.3"/>
  <cols>
    <col min="1" max="1" width="14" customWidth="1"/>
    <col min="2" max="2" width="12" customWidth="1"/>
    <col min="3" max="3" width="38" customWidth="1"/>
    <col min="4" max="4" width="12" customWidth="1"/>
    <col min="5" max="5" width="36" customWidth="1"/>
    <col min="6" max="6" width="30" customWidth="1"/>
    <col min="7" max="7" width="42" customWidth="1"/>
  </cols>
  <sheetData>
    <row r="1" spans="1:7" ht="28.05" customHeight="1" x14ac:dyDescent="0.3">
      <c r="A1" s="16" t="s">
        <v>24</v>
      </c>
      <c r="B1" s="15"/>
      <c r="C1" s="15"/>
      <c r="D1" s="15"/>
      <c r="E1" s="15"/>
      <c r="F1" s="15"/>
      <c r="G1" s="15"/>
    </row>
    <row r="2" spans="1:7" ht="19.95" customHeight="1" x14ac:dyDescent="0.3">
      <c r="A2" s="14" t="s">
        <v>25</v>
      </c>
      <c r="B2" s="15"/>
      <c r="C2" s="15"/>
      <c r="D2" s="15"/>
      <c r="E2" s="15"/>
      <c r="F2" s="15"/>
      <c r="G2" s="15"/>
    </row>
    <row r="4" spans="1:7" ht="25.95" customHeight="1" x14ac:dyDescent="0.3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</row>
    <row r="5" spans="1:7" ht="25.95" customHeight="1" x14ac:dyDescent="0.3">
      <c r="A5" s="8" t="s">
        <v>33</v>
      </c>
      <c r="B5" s="8" t="s">
        <v>34</v>
      </c>
      <c r="C5" s="9" t="s">
        <v>35</v>
      </c>
      <c r="D5" s="8">
        <v>82</v>
      </c>
      <c r="E5" s="10" t="s">
        <v>36</v>
      </c>
      <c r="F5" s="9" t="s">
        <v>37</v>
      </c>
      <c r="G5" s="9" t="s">
        <v>38</v>
      </c>
    </row>
    <row r="6" spans="1:7" ht="25.95" customHeight="1" x14ac:dyDescent="0.3">
      <c r="A6" s="5" t="s">
        <v>39</v>
      </c>
      <c r="B6" s="5" t="s">
        <v>40</v>
      </c>
      <c r="C6" s="6" t="s">
        <v>35</v>
      </c>
      <c r="D6" s="5">
        <v>37</v>
      </c>
      <c r="E6" s="7" t="s">
        <v>41</v>
      </c>
      <c r="F6" s="6" t="s">
        <v>42</v>
      </c>
      <c r="G6" s="6" t="s">
        <v>43</v>
      </c>
    </row>
    <row r="7" spans="1:7" ht="25.95" customHeight="1" x14ac:dyDescent="0.3">
      <c r="A7" s="2" t="s">
        <v>44</v>
      </c>
      <c r="B7" s="2" t="s">
        <v>45</v>
      </c>
      <c r="C7" s="3" t="s">
        <v>46</v>
      </c>
      <c r="D7" s="2">
        <v>75</v>
      </c>
      <c r="E7" s="4" t="s">
        <v>47</v>
      </c>
      <c r="F7" s="3" t="s">
        <v>37</v>
      </c>
      <c r="G7" s="3" t="s">
        <v>48</v>
      </c>
    </row>
    <row r="8" spans="1:7" ht="25.95" customHeight="1" x14ac:dyDescent="0.3">
      <c r="A8" s="8" t="s">
        <v>49</v>
      </c>
      <c r="B8" s="8" t="s">
        <v>45</v>
      </c>
      <c r="C8" s="10" t="s">
        <v>50</v>
      </c>
      <c r="D8" s="8">
        <v>6</v>
      </c>
      <c r="E8" s="10" t="s">
        <v>51</v>
      </c>
      <c r="F8" s="9" t="s">
        <v>52</v>
      </c>
      <c r="G8" s="9" t="s">
        <v>53</v>
      </c>
    </row>
    <row r="9" spans="1:7" ht="25.95" customHeight="1" x14ac:dyDescent="0.3">
      <c r="A9" s="2" t="s">
        <v>54</v>
      </c>
      <c r="B9" s="2" t="s">
        <v>55</v>
      </c>
      <c r="C9" s="3" t="s">
        <v>35</v>
      </c>
      <c r="D9" s="2">
        <v>21</v>
      </c>
      <c r="E9" s="4" t="s">
        <v>56</v>
      </c>
      <c r="F9" s="3" t="s">
        <v>57</v>
      </c>
      <c r="G9" s="3" t="s">
        <v>58</v>
      </c>
    </row>
    <row r="10" spans="1:7" ht="25.95" customHeight="1" x14ac:dyDescent="0.3">
      <c r="A10" s="8" t="s">
        <v>59</v>
      </c>
      <c r="B10" s="8" t="s">
        <v>55</v>
      </c>
      <c r="C10" s="9" t="s">
        <v>60</v>
      </c>
      <c r="D10" s="8">
        <v>97</v>
      </c>
      <c r="E10" s="10" t="s">
        <v>61</v>
      </c>
      <c r="F10" s="9" t="s">
        <v>62</v>
      </c>
      <c r="G10" s="9" t="s">
        <v>63</v>
      </c>
    </row>
    <row r="11" spans="1:7" ht="25.95" customHeight="1" x14ac:dyDescent="0.3">
      <c r="A11" s="2" t="s">
        <v>64</v>
      </c>
      <c r="B11" s="2" t="s">
        <v>65</v>
      </c>
      <c r="C11" s="3" t="s">
        <v>46</v>
      </c>
      <c r="D11" s="2">
        <v>11</v>
      </c>
      <c r="E11" s="4" t="s">
        <v>66</v>
      </c>
      <c r="F11" s="3" t="s">
        <v>67</v>
      </c>
      <c r="G11" s="3" t="s">
        <v>68</v>
      </c>
    </row>
    <row r="12" spans="1:7" ht="25.95" customHeight="1" x14ac:dyDescent="0.3">
      <c r="A12" s="8" t="s">
        <v>69</v>
      </c>
      <c r="B12" s="8" t="s">
        <v>65</v>
      </c>
      <c r="C12" s="10" t="s">
        <v>50</v>
      </c>
      <c r="D12" s="8">
        <v>3</v>
      </c>
      <c r="E12" s="10" t="s">
        <v>51</v>
      </c>
      <c r="F12" s="9" t="s">
        <v>52</v>
      </c>
      <c r="G12" s="9" t="s">
        <v>70</v>
      </c>
    </row>
    <row r="13" spans="1:7" ht="25.95" customHeight="1" x14ac:dyDescent="0.3">
      <c r="A13" s="2" t="s">
        <v>71</v>
      </c>
      <c r="B13" s="2" t="s">
        <v>72</v>
      </c>
      <c r="C13" s="3" t="s">
        <v>35</v>
      </c>
      <c r="D13" s="2">
        <v>9</v>
      </c>
      <c r="E13" s="4" t="s">
        <v>66</v>
      </c>
      <c r="F13" s="3" t="s">
        <v>73</v>
      </c>
      <c r="G13" s="3" t="s">
        <v>74</v>
      </c>
    </row>
    <row r="14" spans="1:7" ht="25.95" customHeight="1" x14ac:dyDescent="0.3">
      <c r="A14" s="5" t="s">
        <v>75</v>
      </c>
      <c r="B14" s="5" t="s">
        <v>76</v>
      </c>
      <c r="C14" s="6" t="s">
        <v>46</v>
      </c>
      <c r="D14" s="5">
        <v>27</v>
      </c>
      <c r="E14" s="7" t="s">
        <v>56</v>
      </c>
      <c r="F14" s="6" t="s">
        <v>67</v>
      </c>
      <c r="G14" s="6" t="s">
        <v>77</v>
      </c>
    </row>
    <row r="15" spans="1:7" ht="25.95" customHeight="1" x14ac:dyDescent="0.3">
      <c r="A15" s="8" t="s">
        <v>78</v>
      </c>
      <c r="B15" s="8" t="s">
        <v>76</v>
      </c>
      <c r="C15" s="9" t="s">
        <v>79</v>
      </c>
      <c r="D15" s="8">
        <v>106</v>
      </c>
      <c r="E15" s="10" t="s">
        <v>80</v>
      </c>
      <c r="F15" s="9" t="s">
        <v>81</v>
      </c>
      <c r="G15" s="9" t="s">
        <v>82</v>
      </c>
    </row>
    <row r="16" spans="1:7" ht="25.95" customHeight="1" x14ac:dyDescent="0.3">
      <c r="A16" s="8" t="s">
        <v>83</v>
      </c>
      <c r="B16" s="8" t="s">
        <v>76</v>
      </c>
      <c r="C16" s="10" t="s">
        <v>50</v>
      </c>
      <c r="D16" s="8">
        <v>1</v>
      </c>
      <c r="E16" s="10" t="s">
        <v>51</v>
      </c>
      <c r="F16" s="9" t="s">
        <v>52</v>
      </c>
      <c r="G16" s="9" t="s">
        <v>84</v>
      </c>
    </row>
    <row r="17" spans="1:7" ht="25.95" customHeight="1" x14ac:dyDescent="0.3">
      <c r="A17" s="8" t="s">
        <v>85</v>
      </c>
      <c r="B17" s="8" t="s">
        <v>76</v>
      </c>
      <c r="C17" s="10" t="s">
        <v>86</v>
      </c>
      <c r="D17" s="8">
        <v>1</v>
      </c>
      <c r="E17" s="10" t="s">
        <v>51</v>
      </c>
      <c r="F17" s="9" t="s">
        <v>87</v>
      </c>
      <c r="G17" s="9" t="s">
        <v>84</v>
      </c>
    </row>
    <row r="18" spans="1:7" ht="25.95" customHeight="1" x14ac:dyDescent="0.3">
      <c r="A18" s="5" t="s">
        <v>88</v>
      </c>
      <c r="B18" s="5" t="s">
        <v>89</v>
      </c>
      <c r="C18" s="6" t="s">
        <v>46</v>
      </c>
      <c r="D18" s="5">
        <v>27</v>
      </c>
      <c r="E18" s="7" t="s">
        <v>56</v>
      </c>
      <c r="F18" s="6" t="s">
        <v>90</v>
      </c>
      <c r="G18" s="6" t="s">
        <v>91</v>
      </c>
    </row>
    <row r="19" spans="1:7" x14ac:dyDescent="0.3">
      <c r="A19" s="2" t="s">
        <v>92</v>
      </c>
      <c r="B19" s="11"/>
      <c r="C19" s="11"/>
      <c r="D19" s="2">
        <f>SUM(D5:D18)</f>
        <v>503</v>
      </c>
      <c r="E19" s="11"/>
      <c r="F19" s="11"/>
      <c r="G19" s="11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tabSelected="1" workbookViewId="0">
      <selection activeCell="F15" sqref="F15"/>
    </sheetView>
  </sheetViews>
  <sheetFormatPr defaultRowHeight="14.4" x14ac:dyDescent="0.3"/>
  <cols>
    <col min="1" max="1" width="14" customWidth="1"/>
    <col min="2" max="2" width="12" customWidth="1"/>
    <col min="3" max="3" width="38" customWidth="1"/>
    <col min="4" max="4" width="12" customWidth="1"/>
    <col min="5" max="5" width="36" customWidth="1"/>
    <col min="6" max="6" width="30" customWidth="1"/>
    <col min="7" max="7" width="42" customWidth="1"/>
  </cols>
  <sheetData>
    <row r="1" spans="1:7" ht="28.05" customHeight="1" x14ac:dyDescent="0.3">
      <c r="A1" s="16" t="s">
        <v>93</v>
      </c>
      <c r="B1" s="15"/>
      <c r="C1" s="15"/>
      <c r="D1" s="15"/>
      <c r="E1" s="15"/>
      <c r="F1" s="15"/>
      <c r="G1" s="15"/>
    </row>
    <row r="2" spans="1:7" ht="19.95" customHeight="1" x14ac:dyDescent="0.3">
      <c r="A2" s="14" t="s">
        <v>94</v>
      </c>
      <c r="B2" s="15"/>
      <c r="C2" s="15"/>
      <c r="D2" s="15"/>
      <c r="E2" s="15"/>
      <c r="F2" s="15"/>
      <c r="G2" s="15"/>
    </row>
    <row r="4" spans="1:7" ht="25.95" customHeight="1" x14ac:dyDescent="0.3">
      <c r="A4" s="12" t="s">
        <v>26</v>
      </c>
      <c r="B4" s="12" t="s">
        <v>27</v>
      </c>
      <c r="C4" s="12" t="s">
        <v>28</v>
      </c>
      <c r="D4" s="12" t="s">
        <v>29</v>
      </c>
      <c r="E4" s="12" t="s">
        <v>30</v>
      </c>
      <c r="F4" s="12" t="s">
        <v>31</v>
      </c>
      <c r="G4" s="12" t="s">
        <v>32</v>
      </c>
    </row>
    <row r="5" spans="1:7" ht="25.95" customHeight="1" x14ac:dyDescent="0.3">
      <c r="A5" s="8" t="s">
        <v>95</v>
      </c>
      <c r="B5" s="8" t="s">
        <v>96</v>
      </c>
      <c r="C5" s="9" t="s">
        <v>97</v>
      </c>
      <c r="D5" s="8">
        <v>450</v>
      </c>
      <c r="E5" s="10" t="s">
        <v>98</v>
      </c>
      <c r="F5" s="9" t="s">
        <v>99</v>
      </c>
      <c r="G5" s="9" t="s">
        <v>100</v>
      </c>
    </row>
    <row r="6" spans="1:7" ht="25.95" customHeight="1" x14ac:dyDescent="0.3">
      <c r="A6" s="5" t="s">
        <v>33</v>
      </c>
      <c r="B6" s="5" t="s">
        <v>55</v>
      </c>
      <c r="C6" s="6" t="s">
        <v>60</v>
      </c>
      <c r="D6" s="5">
        <v>42</v>
      </c>
      <c r="E6" s="7" t="s">
        <v>101</v>
      </c>
      <c r="F6" s="6" t="s">
        <v>102</v>
      </c>
      <c r="G6" s="6" t="s">
        <v>103</v>
      </c>
    </row>
    <row r="7" spans="1:7" ht="25.95" customHeight="1" x14ac:dyDescent="0.3">
      <c r="A7" s="2" t="s">
        <v>39</v>
      </c>
      <c r="B7" s="2" t="s">
        <v>104</v>
      </c>
      <c r="C7" s="3" t="s">
        <v>79</v>
      </c>
      <c r="D7" s="2">
        <v>21</v>
      </c>
      <c r="E7" s="4" t="s">
        <v>105</v>
      </c>
      <c r="F7" s="3" t="s">
        <v>106</v>
      </c>
      <c r="G7" s="3" t="s">
        <v>107</v>
      </c>
    </row>
    <row r="8" spans="1:7" ht="25.95" customHeight="1" x14ac:dyDescent="0.3">
      <c r="A8" s="5" t="s">
        <v>44</v>
      </c>
      <c r="B8" s="5" t="s">
        <v>104</v>
      </c>
      <c r="C8" s="6" t="s">
        <v>60</v>
      </c>
      <c r="D8" s="5">
        <v>44</v>
      </c>
      <c r="E8" s="7" t="s">
        <v>101</v>
      </c>
      <c r="F8" s="6" t="s">
        <v>108</v>
      </c>
      <c r="G8" s="6" t="s">
        <v>109</v>
      </c>
    </row>
    <row r="9" spans="1:7" ht="25.95" customHeight="1" x14ac:dyDescent="0.3">
      <c r="A9" s="2" t="s">
        <v>49</v>
      </c>
      <c r="B9" s="2" t="s">
        <v>72</v>
      </c>
      <c r="C9" s="3" t="s">
        <v>79</v>
      </c>
      <c r="D9" s="2">
        <v>44</v>
      </c>
      <c r="E9" s="4" t="s">
        <v>101</v>
      </c>
      <c r="F9" s="3" t="s">
        <v>110</v>
      </c>
      <c r="G9" s="3" t="s">
        <v>111</v>
      </c>
    </row>
    <row r="10" spans="1:7" ht="25.95" customHeight="1" x14ac:dyDescent="0.3">
      <c r="A10" s="5" t="s">
        <v>54</v>
      </c>
      <c r="B10" s="5" t="s">
        <v>72</v>
      </c>
      <c r="C10" s="6" t="s">
        <v>60</v>
      </c>
      <c r="D10" s="5">
        <v>21</v>
      </c>
      <c r="E10" s="7" t="s">
        <v>105</v>
      </c>
      <c r="F10" s="6" t="s">
        <v>112</v>
      </c>
      <c r="G10" s="6" t="s">
        <v>113</v>
      </c>
    </row>
    <row r="11" spans="1:7" ht="25.95" customHeight="1" x14ac:dyDescent="0.3">
      <c r="A11" s="2" t="s">
        <v>59</v>
      </c>
      <c r="B11" s="2" t="s">
        <v>114</v>
      </c>
      <c r="C11" s="3" t="s">
        <v>79</v>
      </c>
      <c r="D11" s="2">
        <v>42</v>
      </c>
      <c r="E11" s="4" t="s">
        <v>101</v>
      </c>
      <c r="F11" s="3" t="s">
        <v>115</v>
      </c>
      <c r="G11" s="3" t="s">
        <v>116</v>
      </c>
    </row>
    <row r="12" spans="1:7" x14ac:dyDescent="0.3">
      <c r="A12" s="2" t="s">
        <v>92</v>
      </c>
      <c r="B12" s="11"/>
      <c r="C12" s="11"/>
      <c r="D12" s="2">
        <f>SUM(D5:D11)</f>
        <v>664</v>
      </c>
      <c r="E12" s="11"/>
      <c r="F12" s="11"/>
      <c r="G12" s="11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workbookViewId="0">
      <selection activeCell="B17" sqref="B17"/>
    </sheetView>
  </sheetViews>
  <sheetFormatPr defaultRowHeight="14.4" x14ac:dyDescent="0.3"/>
  <cols>
    <col min="1" max="1" width="14" customWidth="1"/>
    <col min="2" max="2" width="12" customWidth="1"/>
    <col min="3" max="3" width="38" customWidth="1"/>
    <col min="4" max="4" width="12" customWidth="1"/>
    <col min="5" max="5" width="36" customWidth="1"/>
    <col min="6" max="6" width="30" customWidth="1"/>
    <col min="7" max="7" width="42" customWidth="1"/>
  </cols>
  <sheetData>
    <row r="1" spans="1:7" ht="28.05" customHeight="1" x14ac:dyDescent="0.3">
      <c r="A1" s="16" t="s">
        <v>117</v>
      </c>
      <c r="B1" s="15"/>
      <c r="C1" s="15"/>
      <c r="D1" s="15"/>
      <c r="E1" s="15"/>
      <c r="F1" s="15"/>
      <c r="G1" s="15"/>
    </row>
    <row r="2" spans="1:7" ht="19.95" customHeight="1" x14ac:dyDescent="0.3">
      <c r="A2" s="14" t="s">
        <v>118</v>
      </c>
      <c r="B2" s="15"/>
      <c r="C2" s="15"/>
      <c r="D2" s="15"/>
      <c r="E2" s="15"/>
      <c r="F2" s="15"/>
      <c r="G2" s="15"/>
    </row>
    <row r="4" spans="1:7" ht="25.95" customHeight="1" x14ac:dyDescent="0.3">
      <c r="A4" s="13" t="s">
        <v>26</v>
      </c>
      <c r="B4" s="13" t="s">
        <v>27</v>
      </c>
      <c r="C4" s="13" t="s">
        <v>28</v>
      </c>
      <c r="D4" s="13" t="s">
        <v>29</v>
      </c>
      <c r="E4" s="13" t="s">
        <v>30</v>
      </c>
      <c r="F4" s="13" t="s">
        <v>31</v>
      </c>
      <c r="G4" s="13" t="s">
        <v>32</v>
      </c>
    </row>
    <row r="5" spans="1:7" ht="25.95" customHeight="1" x14ac:dyDescent="0.3">
      <c r="A5" s="2" t="s">
        <v>33</v>
      </c>
      <c r="B5" s="2" t="s">
        <v>119</v>
      </c>
      <c r="C5" s="3" t="s">
        <v>60</v>
      </c>
      <c r="D5" s="2">
        <v>44</v>
      </c>
      <c r="E5" s="4" t="s">
        <v>101</v>
      </c>
      <c r="F5" s="3" t="s">
        <v>120</v>
      </c>
      <c r="G5" s="3" t="s">
        <v>121</v>
      </c>
    </row>
    <row r="6" spans="1:7" ht="25.95" customHeight="1" x14ac:dyDescent="0.3">
      <c r="A6" s="5" t="s">
        <v>39</v>
      </c>
      <c r="B6" s="5" t="s">
        <v>122</v>
      </c>
      <c r="C6" s="6" t="s">
        <v>35</v>
      </c>
      <c r="D6" s="5">
        <v>20</v>
      </c>
      <c r="E6" s="7" t="s">
        <v>105</v>
      </c>
      <c r="F6" s="6" t="s">
        <v>123</v>
      </c>
      <c r="G6" s="6" t="s">
        <v>124</v>
      </c>
    </row>
    <row r="7" spans="1:7" ht="25.95" customHeight="1" x14ac:dyDescent="0.3">
      <c r="A7" s="2" t="s">
        <v>44</v>
      </c>
      <c r="B7" s="2" t="s">
        <v>125</v>
      </c>
      <c r="C7" s="3" t="s">
        <v>79</v>
      </c>
      <c r="D7" s="2">
        <v>44</v>
      </c>
      <c r="E7" s="4" t="s">
        <v>101</v>
      </c>
      <c r="F7" s="3" t="s">
        <v>110</v>
      </c>
      <c r="G7" s="3" t="s">
        <v>126</v>
      </c>
    </row>
    <row r="8" spans="1:7" ht="25.95" customHeight="1" x14ac:dyDescent="0.3">
      <c r="A8" s="5" t="s">
        <v>49</v>
      </c>
      <c r="B8" s="5" t="s">
        <v>125</v>
      </c>
      <c r="C8" s="6" t="s">
        <v>35</v>
      </c>
      <c r="D8" s="5">
        <v>18</v>
      </c>
      <c r="E8" s="7" t="s">
        <v>105</v>
      </c>
      <c r="F8" s="6" t="s">
        <v>127</v>
      </c>
      <c r="G8" s="6" t="s">
        <v>128</v>
      </c>
    </row>
    <row r="9" spans="1:7" ht="25.95" customHeight="1" x14ac:dyDescent="0.3">
      <c r="A9" s="2" t="s">
        <v>54</v>
      </c>
      <c r="B9" s="2" t="s">
        <v>125</v>
      </c>
      <c r="C9" s="3" t="s">
        <v>60</v>
      </c>
      <c r="D9" s="2">
        <v>44</v>
      </c>
      <c r="E9" s="4" t="s">
        <v>101</v>
      </c>
      <c r="F9" s="3" t="s">
        <v>129</v>
      </c>
      <c r="G9" s="3" t="s">
        <v>130</v>
      </c>
    </row>
    <row r="10" spans="1:7" ht="25.95" customHeight="1" x14ac:dyDescent="0.3">
      <c r="A10" s="5" t="s">
        <v>59</v>
      </c>
      <c r="B10" s="5" t="s">
        <v>131</v>
      </c>
      <c r="C10" s="6" t="s">
        <v>46</v>
      </c>
      <c r="D10" s="5">
        <v>20</v>
      </c>
      <c r="E10" s="7" t="s">
        <v>105</v>
      </c>
      <c r="F10" s="6" t="s">
        <v>132</v>
      </c>
      <c r="G10" s="6" t="s">
        <v>133</v>
      </c>
    </row>
    <row r="11" spans="1:7" ht="25.95" customHeight="1" x14ac:dyDescent="0.3">
      <c r="A11" s="2" t="s">
        <v>64</v>
      </c>
      <c r="B11" s="2" t="s">
        <v>131</v>
      </c>
      <c r="C11" s="3" t="s">
        <v>35</v>
      </c>
      <c r="D11" s="2">
        <v>20</v>
      </c>
      <c r="E11" s="4" t="s">
        <v>105</v>
      </c>
      <c r="F11" s="3" t="s">
        <v>134</v>
      </c>
      <c r="G11" s="3" t="s">
        <v>135</v>
      </c>
    </row>
    <row r="12" spans="1:7" ht="25.95" customHeight="1" x14ac:dyDescent="0.3">
      <c r="A12" s="5" t="s">
        <v>69</v>
      </c>
      <c r="B12" s="5" t="s">
        <v>136</v>
      </c>
      <c r="C12" s="6" t="s">
        <v>46</v>
      </c>
      <c r="D12" s="5">
        <v>17</v>
      </c>
      <c r="E12" s="7" t="s">
        <v>105</v>
      </c>
      <c r="F12" s="6" t="s">
        <v>132</v>
      </c>
      <c r="G12" s="6" t="s">
        <v>137</v>
      </c>
    </row>
    <row r="13" spans="1:7" ht="25.95" customHeight="1" x14ac:dyDescent="0.3">
      <c r="A13" s="2" t="s">
        <v>71</v>
      </c>
      <c r="B13" s="2" t="s">
        <v>136</v>
      </c>
      <c r="C13" s="3" t="s">
        <v>79</v>
      </c>
      <c r="D13" s="2">
        <v>44</v>
      </c>
      <c r="E13" s="4" t="s">
        <v>101</v>
      </c>
      <c r="F13" s="3" t="s">
        <v>138</v>
      </c>
      <c r="G13" s="3" t="s">
        <v>139</v>
      </c>
    </row>
    <row r="14" spans="1:7" ht="25.95" customHeight="1" x14ac:dyDescent="0.3">
      <c r="A14" s="5" t="s">
        <v>75</v>
      </c>
      <c r="B14" s="5" t="s">
        <v>136</v>
      </c>
      <c r="C14" s="6" t="s">
        <v>35</v>
      </c>
      <c r="D14" s="5">
        <v>17</v>
      </c>
      <c r="E14" s="7" t="s">
        <v>105</v>
      </c>
      <c r="F14" s="6" t="s">
        <v>140</v>
      </c>
      <c r="G14" s="6" t="s">
        <v>141</v>
      </c>
    </row>
    <row r="15" spans="1:7" ht="25.95" customHeight="1" x14ac:dyDescent="0.3">
      <c r="A15" s="2" t="s">
        <v>78</v>
      </c>
      <c r="B15" s="2" t="s">
        <v>142</v>
      </c>
      <c r="C15" s="3" t="s">
        <v>46</v>
      </c>
      <c r="D15" s="2">
        <v>20</v>
      </c>
      <c r="E15" s="4" t="s">
        <v>105</v>
      </c>
      <c r="F15" s="3" t="s">
        <v>132</v>
      </c>
      <c r="G15" s="3" t="s">
        <v>143</v>
      </c>
    </row>
    <row r="16" spans="1:7" ht="25.95" customHeight="1" x14ac:dyDescent="0.3">
      <c r="A16" s="5" t="s">
        <v>83</v>
      </c>
      <c r="B16" s="5" t="s">
        <v>142</v>
      </c>
      <c r="C16" s="6" t="s">
        <v>35</v>
      </c>
      <c r="D16" s="5">
        <v>5</v>
      </c>
      <c r="E16" s="7" t="s">
        <v>51</v>
      </c>
      <c r="F16" s="6" t="s">
        <v>144</v>
      </c>
      <c r="G16" s="6" t="s">
        <v>145</v>
      </c>
    </row>
    <row r="17" spans="1:7" ht="25.95" customHeight="1" x14ac:dyDescent="0.3">
      <c r="A17" s="2" t="s">
        <v>85</v>
      </c>
      <c r="B17" s="2" t="s">
        <v>146</v>
      </c>
      <c r="C17" s="3" t="s">
        <v>46</v>
      </c>
      <c r="D17" s="2">
        <v>17</v>
      </c>
      <c r="E17" s="4" t="s">
        <v>105</v>
      </c>
      <c r="F17" s="3" t="s">
        <v>132</v>
      </c>
      <c r="G17" s="3" t="s">
        <v>147</v>
      </c>
    </row>
    <row r="18" spans="1:7" ht="25.95" customHeight="1" x14ac:dyDescent="0.3">
      <c r="A18" s="5" t="s">
        <v>88</v>
      </c>
      <c r="B18" s="5" t="s">
        <v>146</v>
      </c>
      <c r="C18" s="6" t="s">
        <v>35</v>
      </c>
      <c r="D18" s="5">
        <v>2</v>
      </c>
      <c r="E18" s="7" t="s">
        <v>51</v>
      </c>
      <c r="F18" s="6" t="s">
        <v>148</v>
      </c>
      <c r="G18" s="6" t="s">
        <v>149</v>
      </c>
    </row>
    <row r="19" spans="1:7" ht="25.95" customHeight="1" x14ac:dyDescent="0.3">
      <c r="A19" s="2" t="s">
        <v>150</v>
      </c>
      <c r="B19" s="2" t="s">
        <v>151</v>
      </c>
      <c r="C19" s="3" t="s">
        <v>46</v>
      </c>
      <c r="D19" s="2">
        <v>4</v>
      </c>
      <c r="E19" s="4" t="s">
        <v>51</v>
      </c>
      <c r="F19" s="3" t="s">
        <v>132</v>
      </c>
      <c r="G19" s="3" t="s">
        <v>137</v>
      </c>
    </row>
    <row r="20" spans="1:7" ht="25.95" customHeight="1" x14ac:dyDescent="0.3">
      <c r="A20" s="5" t="s">
        <v>152</v>
      </c>
      <c r="B20" s="5" t="s">
        <v>151</v>
      </c>
      <c r="C20" s="6" t="s">
        <v>35</v>
      </c>
      <c r="D20" s="5">
        <v>2</v>
      </c>
      <c r="E20" s="7" t="s">
        <v>51</v>
      </c>
      <c r="F20" s="6" t="s">
        <v>153</v>
      </c>
      <c r="G20" s="6" t="s">
        <v>154</v>
      </c>
    </row>
    <row r="21" spans="1:7" ht="25.95" customHeight="1" x14ac:dyDescent="0.3">
      <c r="A21" s="2" t="s">
        <v>155</v>
      </c>
      <c r="B21" s="2" t="s">
        <v>156</v>
      </c>
      <c r="C21" s="3" t="s">
        <v>46</v>
      </c>
      <c r="D21" s="2">
        <v>2</v>
      </c>
      <c r="E21" s="4" t="s">
        <v>51</v>
      </c>
      <c r="F21" s="3" t="s">
        <v>157</v>
      </c>
      <c r="G21" s="3" t="s">
        <v>137</v>
      </c>
    </row>
    <row r="22" spans="1:7" ht="25.95" customHeight="1" x14ac:dyDescent="0.3">
      <c r="A22" s="8" t="s">
        <v>158</v>
      </c>
      <c r="B22" s="8" t="s">
        <v>156</v>
      </c>
      <c r="C22" s="9" t="s">
        <v>35</v>
      </c>
      <c r="D22" s="8">
        <v>96</v>
      </c>
      <c r="E22" s="10" t="s">
        <v>159</v>
      </c>
      <c r="F22" s="9" t="s">
        <v>160</v>
      </c>
      <c r="G22" s="9" t="s">
        <v>161</v>
      </c>
    </row>
    <row r="23" spans="1:7" ht="25.95" customHeight="1" x14ac:dyDescent="0.3">
      <c r="A23" s="2" t="s">
        <v>162</v>
      </c>
      <c r="B23" s="2" t="s">
        <v>163</v>
      </c>
      <c r="C23" s="3" t="s">
        <v>46</v>
      </c>
      <c r="D23" s="2">
        <v>4</v>
      </c>
      <c r="E23" s="4" t="s">
        <v>51</v>
      </c>
      <c r="F23" s="3" t="s">
        <v>157</v>
      </c>
      <c r="G23" s="3" t="s">
        <v>137</v>
      </c>
    </row>
    <row r="24" spans="1:7" ht="25.95" customHeight="1" x14ac:dyDescent="0.3">
      <c r="A24" s="8" t="s">
        <v>164</v>
      </c>
      <c r="B24" s="8" t="s">
        <v>165</v>
      </c>
      <c r="C24" s="9" t="s">
        <v>46</v>
      </c>
      <c r="D24" s="8">
        <v>96</v>
      </c>
      <c r="E24" s="10" t="s">
        <v>159</v>
      </c>
      <c r="F24" s="9" t="s">
        <v>166</v>
      </c>
      <c r="G24" s="9" t="s">
        <v>167</v>
      </c>
    </row>
    <row r="25" spans="1:7" x14ac:dyDescent="0.3">
      <c r="A25" s="2" t="s">
        <v>92</v>
      </c>
      <c r="B25" s="11"/>
      <c r="C25" s="11"/>
      <c r="D25" s="2">
        <f>SUM(D5:D24)</f>
        <v>536</v>
      </c>
      <c r="E25" s="11"/>
      <c r="F25" s="11"/>
      <c r="G25" s="11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Doi xe &amp; Truc diem</vt:lpstr>
      <vt:lpstr>2. Chieu 27-10</vt:lpstr>
      <vt:lpstr>3. Ngay 28-10</vt:lpstr>
      <vt:lpstr>4. Sang 29-10 (Chung ket)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Tuan Long</cp:lastModifiedBy>
  <dcterms:created xsi:type="dcterms:W3CDTF">2026-10-16T09:43:57Z</dcterms:created>
  <dcterms:modified xsi:type="dcterms:W3CDTF">2026-10-16T10:00:00Z</dcterms:modified>
</cp:coreProperties>
</file>